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LiveWeatherApp\docs\"/>
    </mc:Choice>
  </mc:AlternateContent>
  <xr:revisionPtr revIDLastSave="0" documentId="8_{8BF50218-A97C-4DBC-942F-BFD064746815}" xr6:coauthVersionLast="47" xr6:coauthVersionMax="47" xr10:uidLastSave="{00000000-0000-0000-0000-000000000000}"/>
  <bookViews>
    <workbookView xWindow="-110" yWindow="-110" windowWidth="51420" windowHeight="21100" xr2:uid="{4204723E-0F47-4AA0-9464-F84F0D4892EB}"/>
  </bookViews>
  <sheets>
    <sheet name="UpdateFLow" sheetId="2" r:id="rId1"/>
    <sheet name="Sheet1" sheetId="1" r:id="rId2"/>
  </sheets>
  <definedNames>
    <definedName name="ExternalData_1" localSheetId="0" hidden="1">UpdateFLow!$A$1:$D$43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2" l="1"/>
  <c r="D41" i="2"/>
  <c r="D39" i="2"/>
  <c r="D38" i="2"/>
  <c r="D37" i="2"/>
  <c r="D28" i="2"/>
  <c r="D29" i="2"/>
  <c r="D30" i="2"/>
  <c r="D31" i="2"/>
  <c r="D32" i="2"/>
  <c r="D33" i="2"/>
  <c r="D34" i="2"/>
  <c r="D35" i="2"/>
  <c r="D36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8" i="2"/>
  <c r="D9" i="2"/>
  <c r="D7" i="2"/>
  <c r="D6" i="2"/>
  <c r="D5" i="2"/>
  <c r="D4" i="2"/>
  <c r="D3" i="2"/>
  <c r="B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C1B24-10AD-45A7-A146-EDB68E7259D5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<sst xmlns="http://schemas.openxmlformats.org/spreadsheetml/2006/main" count="149" uniqueCount="91">
  <si>
    <t>Column1</t>
  </si>
  <si>
    <t>Column2</t>
  </si>
  <si>
    <t>Column3</t>
  </si>
  <si>
    <t>Column4</t>
  </si>
  <si>
    <t xml:space="preserve">nummer </t>
  </si>
  <si>
    <t xml:space="preserve"> omschrijving </t>
  </si>
  <si>
    <t xml:space="preserve"> verwijzing </t>
  </si>
  <si>
    <t xml:space="preserve"> actie</t>
  </si>
  <si>
    <t xml:space="preserve">1. </t>
  </si>
  <si>
    <t xml:space="preserve"> ALs gebruiker kom ik op een nieuwe locatie lisse  </t>
  </si>
  <si>
    <t xml:space="preserve"> &gt; </t>
  </si>
  <si>
    <t xml:space="preserve">1.a </t>
  </si>
  <si>
    <t xml:space="preserve"> App lijkt naar GPS &gt; converteert het naar locatie &amp; land. </t>
  </si>
  <si>
    <t xml:space="preserve">1.b </t>
  </si>
  <si>
    <t xml:space="preserve"> App ziet dat hij nog geen records heeft  </t>
  </si>
  <si>
    <t xml:space="preserve">1.c </t>
  </si>
  <si>
    <t xml:space="preserve"> App haalt lijst van foto's via servce =&gt; /api/v1/Search = location:lisse, land:nederland   </t>
  </si>
  <si>
    <t xml:space="preserve">1.e </t>
  </si>
  <si>
    <t xml:space="preserve">1.e.1 </t>
  </si>
  <si>
    <t/>
  </si>
  <si>
    <t xml:space="preserve">1.e.2 </t>
  </si>
  <si>
    <t xml:space="preserve"> De service zal het resultaat in de databse updaten + en nieuwebeelden verwerken.</t>
  </si>
  <si>
    <t xml:space="preserve">1.e.3 </t>
  </si>
  <si>
    <t xml:space="preserve"> App krijg resultaat terug (gzip) </t>
  </si>
  <si>
    <t xml:space="preserve">1.f.1 </t>
  </si>
  <si>
    <t xml:space="preserve"> De App VERgelijkt het resultaat met de records in zijn eigen database  </t>
  </si>
  <si>
    <t xml:space="preserve">1.f.2 </t>
  </si>
  <si>
    <t xml:space="preserve"> De App zal alle records met de location:lisse, land:nederland die niet in het aangeleverde resultaat komen in een delete lijst </t>
  </si>
  <si>
    <t xml:space="preserve">i.f.3 </t>
  </si>
  <si>
    <t xml:space="preserve"> De App zal alle afbeeldingen op de delete lijst worden verwijderd uit de cache </t>
  </si>
  <si>
    <t xml:space="preserve">1.F.4 </t>
  </si>
  <si>
    <t xml:space="preserve"> De App zal alle records op de delete lijst worden verwijderden uit de database. </t>
  </si>
  <si>
    <t xml:space="preserve">1.f.5 </t>
  </si>
  <si>
    <t xml:space="preserve"> De App bekijkt het aantal records;</t>
  </si>
  <si>
    <t xml:space="preserve">1.f.6 </t>
  </si>
  <si>
    <t xml:space="preserve">2.a </t>
  </si>
  <si>
    <t xml:space="preserve">2.a.1 </t>
  </si>
  <si>
    <t xml:space="preserve"> - Nacht / dag foto,  is_dag = (if daytime &gt; sunrise  and datetime &lt; sunset)   </t>
  </si>
  <si>
    <t xml:space="preserve">2.a.2 </t>
  </si>
  <si>
    <t xml:space="preserve"> - Seizoen foto , season = if(date.month &gt; 11 or  date.month  &lt; 3) == true) return "winter'; elseif(date.month &gt; 3 or  date.month  &lt; 6) == true) return "lente'; elseif(date.month &gt; 5 or  date.month  &lt; 8) == true) return "zomer'; elseif(date.month &gt; 7 or  date.month  &lt; 12) == true) return "herfst' </t>
  </si>
  <si>
    <t xml:space="preserve">1.f </t>
  </si>
  <si>
    <t xml:space="preserve"> De service kijkt of hij records heeft van location:lisse, land:nederland ;</t>
  </si>
  <si>
    <t xml:space="preserve">&gt; </t>
  </si>
  <si>
    <t xml:space="preserve"> zo nee, zal  De service een search force doen. </t>
  </si>
  <si>
    <t xml:space="preserve">De service  serveert alle records van lisse aan de app (gzip) </t>
  </si>
  <si>
    <t xml:space="preserve"> De App zal alle records in het resultaat (gzip) verwerken in de database met addupsert(resultaat).</t>
  </si>
  <si>
    <t>1.f.7</t>
  </si>
  <si>
    <t xml:space="preserve"> Als het resultaat (gzip) leeg is zal De App over 10m mins nogmaals een call doen </t>
  </si>
  <si>
    <t xml:space="preserve"> De App haal de volgende gevens op  is_dag ,Seizoen, GPS, location , land</t>
  </si>
  <si>
    <t>2.a.3</t>
  </si>
  <si>
    <t>2.a.4</t>
  </si>
  <si>
    <t>&gt;</t>
  </si>
  <si>
    <t>2.a.5</t>
  </si>
  <si>
    <t>GPS  =getgps();</t>
  </si>
  <si>
    <t>_locatie = getLocatie(GPS); _country=getcountry(GPS)</t>
  </si>
  <si>
    <t>2.a.6</t>
  </si>
  <si>
    <t>Datalist = Get from database all records whet location =_locatie and county =  _country;</t>
  </si>
  <si>
    <t>2.a.7</t>
  </si>
  <si>
    <t>2.a.8</t>
  </si>
  <si>
    <t>2.a.9</t>
  </si>
  <si>
    <t>2.a.10</t>
  </si>
  <si>
    <t>2.a.11</t>
  </si>
  <si>
    <t>2.a.12</t>
  </si>
  <si>
    <t>2.a.13</t>
  </si>
  <si>
    <t>2.a.14</t>
  </si>
  <si>
    <t>2.a.15</t>
  </si>
  <si>
    <t>2.a.16</t>
  </si>
  <si>
    <t>2.a.17</t>
  </si>
  <si>
    <t>2.a.18</t>
  </si>
  <si>
    <t>3.0</t>
  </si>
  <si>
    <t>show images in order ids(99,1,14,55,67,876,1024,13,1031,84,94) where images are in cache</t>
  </si>
  <si>
    <t>Elke x mins zal er een afbeelding worden gewisseld.</t>
  </si>
  <si>
    <t>Datalist create showlist of minimal 6 images</t>
  </si>
  <si>
    <t>poging 2 &gt;  radius 2km waar is_day = true , status=enabled,  seizoen=zomer weer=zoning and not dumpje -1 order order by newest and less seen and dumpje desc&gt; result 1 &gt; ids=99&gt; total result 1 &gt; ids(99)</t>
  </si>
  <si>
    <t>poging 3 &gt;  radius 5km waar is_day = true , status=enabled,  seizoen=zomer weer=zoning and not dumpje -1 order order by newest and less seen and dumpje desc &gt; result 0 &gt; total result 1 &gt; ids(99)</t>
  </si>
  <si>
    <t>poging 4 &gt;  radius 1km waar is_day = true , status=enabled,  seizoen=zomer  and not dumpje -1 order order by newest and less seen and dumpje desc&gt; uniek result 1  ids=1 &gt; total results 2 &gt; ids(99,1)</t>
  </si>
  <si>
    <t>poging 5 &gt;  radius 1km waar is_day = true , status=enabled,  weer=zoning and not dumpje -1 order order by newest and less seen and dumpje desc&gt; uniek result 1   ids=14 &gt;total results 3 &gt; ids(99,1,14)</t>
  </si>
  <si>
    <t>poging 6 &gt;  radius 2km waar is_day = true , status=enabled,  seizoen=zomer  and not dumpje -1 order order by newest and less seen and dumpje desc&gt;same result as poging 4 &gt; total results 3 &gt; ids(99,1,14)</t>
  </si>
  <si>
    <t>poging 7 &gt;  radius 2km waar is_day = true , status=enabled,  weer=zoning and dumpje -1 order order by newest and less seen and dumpje desc&gt; same result as poging 5 &gt; total results 3 &gt; ids(99,1,14)</t>
  </si>
  <si>
    <t>poging 8 &gt;  radius 5km waar is_day = true , status=enabled,  seizoen=zomer  and dumpje -1 order order by newest and less seen and dumpje desc &gt;uniek results 2 ids=55,67 &gt; total results 5 &gt; ids(99,1,14,55,67)</t>
  </si>
  <si>
    <t>poging 9 &gt;  radius 5km waar is_day = true , status=enabled,  weer=zoning and notdumpje -1 order order by newest and less seen and dumpje desc &gt; same result as poging 5 &gt; total results 5 &gt; ids(99,1,14,55,67)</t>
  </si>
  <si>
    <t>poging 10 &gt;  radius 1km waar is_day = true , status=enabled, and not dumpje -1 order order by newest and less seen and dumpje desc&gt; uniek result 1 id=876 &gt; total results 6 &gt; ids(99,1,14,55,67,876)</t>
  </si>
  <si>
    <t>poging 11 &gt;  radius 2km waar is_day = true , status=enabled, and dumpje -1 order order by newest and less seen and dumpje desc&gt; uniek result 2 ids=1024,13 &gt; total results 8 &gt; ids(99,1,14,55,67,876,1024,13)</t>
  </si>
  <si>
    <t>poging 12 &gt;  radius 5km waar is_day = true , status=enabled, and dumpje -1 order order by newest and less seen and dumpje desc&gt; uniek result 3  ids=1031,84,94 &gt; total results 11 &gt; ids(99,1,14,55,67,876,1024,13,1031,84,94)</t>
  </si>
  <si>
    <t>poging 1 &gt;  radius 1km waar is_day = true , status=enabled, seizoen=zomer weer=zoning and not dumpje -1 order order by newest and less seen and dumpje desc&gt; result 0 &gt; total result 0</t>
  </si>
  <si>
    <t>showlist = total results 11 &gt; From showlist load 4 new images that are not in app cache and if exeed max images location delete oldes in cache</t>
  </si>
  <si>
    <t>3.a</t>
  </si>
  <si>
    <t>3.b</t>
  </si>
  <si>
    <t>3.c</t>
  </si>
  <si>
    <t xml:space="preserve">Elke x mins en als location is het zelfde is en de laatste service call is meer dan 1 uur </t>
  </si>
  <si>
    <t xml:space="preserve">Elke x mins en als location is anders dan de vorige keer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</si>
</sst>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38064F-6FCC-47A8-9F02-49C5E8D0314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D01DA-AB15-457A-A1BB-F7585B207821}" name="test" displayName="test" ref="A1:D43" tableType="queryTable" totalsRowShown="0">
  <autoFilter ref="A1:D43" xr:uid="{41CD01DA-AB15-457A-A1BB-F7585B207821}"/>
  <tableColumns count="4">
    <tableColumn id="1" xr3:uid="{F78B1081-496A-4106-8B98-06865A5E166A}" uniqueName="1" name="Column1" queryTableFieldId="1" dataDxfId="3"/>
    <tableColumn id="2" xr3:uid="{F98EA063-BC3B-4279-8BDC-3AB9635B354F}" uniqueName="2" name="Column2" queryTableFieldId="2" dataDxfId="2"/>
    <tableColumn id="3" xr3:uid="{A02B1AC1-08C0-4ABD-B256-261A7EB94737}" uniqueName="3" name="Column3" queryTableFieldId="3" dataDxfId="1"/>
    <tableColumn id="4" xr3:uid="{44A30B2E-F9EE-4290-A424-D72ABAE19180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D443-E017-4E0B-8EC0-7E3169A5F417}">
  <dimension ref="A1:D47"/>
  <sheetViews>
    <sheetView tabSelected="1" topLeftCell="A17" zoomScale="190" zoomScaleNormal="190" workbookViewId="0">
      <selection activeCell="A2" sqref="A2:D42"/>
    </sheetView>
  </sheetViews>
  <sheetFormatPr defaultRowHeight="14.5" x14ac:dyDescent="0.35"/>
  <cols>
    <col min="1" max="1" width="10.7265625" bestFit="1" customWidth="1"/>
    <col min="2" max="2" width="140" customWidth="1"/>
    <col min="3" max="3" width="10.7265625" bestFit="1" customWidth="1"/>
    <col min="4" max="4" width="2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tr">
        <f>A4</f>
        <v xml:space="preserve">1.a </v>
      </c>
    </row>
    <row r="4" spans="1:4" x14ac:dyDescent="0.35">
      <c r="A4" s="1" t="s">
        <v>11</v>
      </c>
      <c r="B4" s="1" t="s">
        <v>12</v>
      </c>
      <c r="C4" s="1" t="s">
        <v>10</v>
      </c>
      <c r="D4" s="1" t="str">
        <f>A5</f>
        <v xml:space="preserve">1.b </v>
      </c>
    </row>
    <row r="5" spans="1:4" x14ac:dyDescent="0.35">
      <c r="A5" s="1" t="s">
        <v>13</v>
      </c>
      <c r="B5" s="1" t="s">
        <v>14</v>
      </c>
      <c r="C5" s="1" t="s">
        <v>10</v>
      </c>
      <c r="D5" s="1" t="str">
        <f>A6</f>
        <v xml:space="preserve">1.c </v>
      </c>
    </row>
    <row r="6" spans="1:4" x14ac:dyDescent="0.35">
      <c r="A6" s="1" t="s">
        <v>15</v>
      </c>
      <c r="B6" s="1" t="s">
        <v>16</v>
      </c>
      <c r="C6" s="1" t="s">
        <v>10</v>
      </c>
      <c r="D6" s="1" t="str">
        <f>A11</f>
        <v xml:space="preserve">1.f </v>
      </c>
    </row>
    <row r="7" spans="1:4" x14ac:dyDescent="0.35">
      <c r="A7" s="1" t="s">
        <v>17</v>
      </c>
      <c r="B7" s="1" t="s">
        <v>41</v>
      </c>
      <c r="C7" s="1" t="s">
        <v>10</v>
      </c>
      <c r="D7" s="1" t="str">
        <f>_xlfn.CONCAT("ja = "&amp;A9&amp;"else "&amp;A8)</f>
        <v xml:space="preserve">ja = 1.e.2 else 1.e.1 </v>
      </c>
    </row>
    <row r="8" spans="1:4" x14ac:dyDescent="0.35">
      <c r="A8" s="1" t="s">
        <v>18</v>
      </c>
      <c r="B8" s="1" t="s">
        <v>43</v>
      </c>
      <c r="C8" s="1" t="s">
        <v>42</v>
      </c>
      <c r="D8" s="1" t="str">
        <f>A10</f>
        <v xml:space="preserve">1.e.3 </v>
      </c>
    </row>
    <row r="9" spans="1:4" x14ac:dyDescent="0.35">
      <c r="A9" s="1" t="s">
        <v>20</v>
      </c>
      <c r="B9" s="1" t="s">
        <v>21</v>
      </c>
      <c r="C9" s="1" t="s">
        <v>10</v>
      </c>
      <c r="D9" s="1" t="str">
        <f>A10</f>
        <v xml:space="preserve">1.e.3 </v>
      </c>
    </row>
    <row r="10" spans="1:4" x14ac:dyDescent="0.35">
      <c r="A10" s="1" t="s">
        <v>22</v>
      </c>
      <c r="B10" s="1" t="s">
        <v>44</v>
      </c>
      <c r="C10" s="1" t="s">
        <v>10</v>
      </c>
      <c r="D10" s="1" t="str">
        <f>A11</f>
        <v xml:space="preserve">1.f </v>
      </c>
    </row>
    <row r="11" spans="1:4" x14ac:dyDescent="0.35">
      <c r="A11" s="1" t="s">
        <v>40</v>
      </c>
      <c r="B11" s="1" t="s">
        <v>23</v>
      </c>
      <c r="C11" s="1" t="s">
        <v>10</v>
      </c>
      <c r="D11" s="1" t="str">
        <f>A12</f>
        <v xml:space="preserve">1.f.1 </v>
      </c>
    </row>
    <row r="12" spans="1:4" x14ac:dyDescent="0.35">
      <c r="A12" s="1" t="s">
        <v>24</v>
      </c>
      <c r="B12" s="1" t="s">
        <v>25</v>
      </c>
      <c r="C12" s="1" t="s">
        <v>10</v>
      </c>
      <c r="D12" s="1" t="str">
        <f>A13</f>
        <v xml:space="preserve">1.f.2 </v>
      </c>
    </row>
    <row r="13" spans="1:4" x14ac:dyDescent="0.35">
      <c r="A13" s="1" t="s">
        <v>26</v>
      </c>
      <c r="B13" s="1" t="s">
        <v>27</v>
      </c>
      <c r="C13" s="1" t="s">
        <v>10</v>
      </c>
      <c r="D13" s="1" t="str">
        <f>A14</f>
        <v xml:space="preserve">i.f.3 </v>
      </c>
    </row>
    <row r="14" spans="1:4" x14ac:dyDescent="0.35">
      <c r="A14" s="1" t="s">
        <v>28</v>
      </c>
      <c r="B14" s="1" t="s">
        <v>29</v>
      </c>
      <c r="C14" s="1" t="s">
        <v>10</v>
      </c>
      <c r="D14" s="1" t="str">
        <f>A15</f>
        <v xml:space="preserve">1.F.4 </v>
      </c>
    </row>
    <row r="15" spans="1:4" x14ac:dyDescent="0.35">
      <c r="A15" s="1" t="s">
        <v>30</v>
      </c>
      <c r="B15" s="1" t="s">
        <v>31</v>
      </c>
      <c r="C15" s="1" t="s">
        <v>10</v>
      </c>
      <c r="D15" s="1" t="str">
        <f>A16</f>
        <v xml:space="preserve">1.f.5 </v>
      </c>
    </row>
    <row r="16" spans="1:4" x14ac:dyDescent="0.35">
      <c r="A16" s="1" t="s">
        <v>32</v>
      </c>
      <c r="B16" s="1" t="s">
        <v>45</v>
      </c>
      <c r="C16" s="1" t="s">
        <v>10</v>
      </c>
      <c r="D16" s="1" t="str">
        <f>A17</f>
        <v xml:space="preserve">1.f.6 </v>
      </c>
    </row>
    <row r="17" spans="1:4" x14ac:dyDescent="0.35">
      <c r="A17" s="1" t="s">
        <v>34</v>
      </c>
      <c r="B17" s="1" t="s">
        <v>33</v>
      </c>
      <c r="C17" s="1" t="s">
        <v>10</v>
      </c>
      <c r="D17" s="1" t="str">
        <f>_xlfn.CONCAT("if 0 records = "&amp;A18&amp;" else "&amp;A19)</f>
        <v xml:space="preserve">if 0 records = 1.f.7 else 2.a </v>
      </c>
    </row>
    <row r="18" spans="1:4" x14ac:dyDescent="0.35">
      <c r="A18" s="1" t="s">
        <v>46</v>
      </c>
      <c r="B18" s="1" t="s">
        <v>47</v>
      </c>
      <c r="C18" s="1" t="s">
        <v>10</v>
      </c>
      <c r="D18" s="1" t="str">
        <f>A6</f>
        <v xml:space="preserve">1.c </v>
      </c>
    </row>
    <row r="19" spans="1:4" x14ac:dyDescent="0.35">
      <c r="A19" s="1" t="s">
        <v>35</v>
      </c>
      <c r="B19" s="1" t="s">
        <v>48</v>
      </c>
      <c r="C19" s="1" t="s">
        <v>10</v>
      </c>
      <c r="D19" s="1" t="str">
        <f>A20</f>
        <v xml:space="preserve">2.a.1 </v>
      </c>
    </row>
    <row r="20" spans="1:4" x14ac:dyDescent="0.35">
      <c r="A20" s="1" t="s">
        <v>36</v>
      </c>
      <c r="B20" s="1" t="s">
        <v>37</v>
      </c>
      <c r="C20" s="1" t="s">
        <v>10</v>
      </c>
      <c r="D20" s="1" t="str">
        <f>A21</f>
        <v xml:space="preserve">2.a.2 </v>
      </c>
    </row>
    <row r="21" spans="1:4" x14ac:dyDescent="0.35">
      <c r="A21" s="1" t="s">
        <v>38</v>
      </c>
      <c r="B21" s="1" t="s">
        <v>39</v>
      </c>
      <c r="C21" s="1" t="s">
        <v>10</v>
      </c>
      <c r="D21" s="1" t="str">
        <f>A22</f>
        <v>2.a.3</v>
      </c>
    </row>
    <row r="22" spans="1:4" x14ac:dyDescent="0.35">
      <c r="A22" s="1" t="s">
        <v>49</v>
      </c>
      <c r="B22" s="1" t="s">
        <v>53</v>
      </c>
      <c r="C22" s="1" t="s">
        <v>51</v>
      </c>
      <c r="D22" s="1" t="str">
        <f>A23</f>
        <v>2.a.4</v>
      </c>
    </row>
    <row r="23" spans="1:4" x14ac:dyDescent="0.35">
      <c r="A23" s="1" t="s">
        <v>50</v>
      </c>
      <c r="B23" s="1" t="s">
        <v>54</v>
      </c>
      <c r="C23" s="1" t="s">
        <v>51</v>
      </c>
      <c r="D23" s="1" t="str">
        <f>A24</f>
        <v>2.a.5</v>
      </c>
    </row>
    <row r="24" spans="1:4" x14ac:dyDescent="0.35">
      <c r="A24" s="1" t="s">
        <v>52</v>
      </c>
      <c r="B24" s="1" t="s">
        <v>56</v>
      </c>
      <c r="C24" s="1" t="s">
        <v>51</v>
      </c>
      <c r="D24" s="1" t="str">
        <f>A25</f>
        <v>2.a.6</v>
      </c>
    </row>
    <row r="25" spans="1:4" x14ac:dyDescent="0.35">
      <c r="A25" s="1" t="s">
        <v>55</v>
      </c>
      <c r="B25" s="1" t="s">
        <v>72</v>
      </c>
      <c r="C25" s="1" t="s">
        <v>51</v>
      </c>
      <c r="D25" s="1" t="str">
        <f>A26</f>
        <v>2.a.7</v>
      </c>
    </row>
    <row r="26" spans="1:4" x14ac:dyDescent="0.35">
      <c r="A26" s="1" t="s">
        <v>57</v>
      </c>
      <c r="B26" s="1" t="s">
        <v>84</v>
      </c>
      <c r="C26" s="1" t="s">
        <v>51</v>
      </c>
      <c r="D26" s="1" t="str">
        <f>_xlfn.CONCAT("if 6 images = "&amp;A38&amp;" else "&amp;A27)</f>
        <v>if 6 images = 3.0 else 2.a.8</v>
      </c>
    </row>
    <row r="27" spans="1:4" x14ac:dyDescent="0.35">
      <c r="A27" s="1" t="s">
        <v>58</v>
      </c>
      <c r="B27" s="1" t="s">
        <v>73</v>
      </c>
      <c r="C27" s="1" t="s">
        <v>51</v>
      </c>
      <c r="D27" s="1" t="str">
        <f>A28</f>
        <v>2.a.9</v>
      </c>
    </row>
    <row r="28" spans="1:4" x14ac:dyDescent="0.35">
      <c r="A28" s="1" t="s">
        <v>59</v>
      </c>
      <c r="B28" s="1" t="s">
        <v>74</v>
      </c>
      <c r="C28" s="1" t="s">
        <v>51</v>
      </c>
      <c r="D28" s="1" t="str">
        <f t="shared" ref="D28:D39" si="0">A29</f>
        <v>2.a.10</v>
      </c>
    </row>
    <row r="29" spans="1:4" x14ac:dyDescent="0.35">
      <c r="A29" s="1" t="s">
        <v>60</v>
      </c>
      <c r="B29" s="1" t="s">
        <v>75</v>
      </c>
      <c r="C29" s="1" t="s">
        <v>51</v>
      </c>
      <c r="D29" s="1" t="str">
        <f t="shared" si="0"/>
        <v>2.a.11</v>
      </c>
    </row>
    <row r="30" spans="1:4" x14ac:dyDescent="0.35">
      <c r="A30" s="1" t="s">
        <v>61</v>
      </c>
      <c r="B30" s="1" t="s">
        <v>76</v>
      </c>
      <c r="C30" s="1" t="s">
        <v>51</v>
      </c>
      <c r="D30" s="1" t="str">
        <f t="shared" si="0"/>
        <v>2.a.12</v>
      </c>
    </row>
    <row r="31" spans="1:4" x14ac:dyDescent="0.35">
      <c r="A31" s="1" t="s">
        <v>62</v>
      </c>
      <c r="B31" s="1" t="s">
        <v>77</v>
      </c>
      <c r="C31" s="1" t="s">
        <v>51</v>
      </c>
      <c r="D31" s="1" t="str">
        <f t="shared" si="0"/>
        <v>2.a.13</v>
      </c>
    </row>
    <row r="32" spans="1:4" x14ac:dyDescent="0.35">
      <c r="A32" s="1" t="s">
        <v>63</v>
      </c>
      <c r="B32" s="1" t="s">
        <v>78</v>
      </c>
      <c r="C32" s="1" t="s">
        <v>51</v>
      </c>
      <c r="D32" s="1" t="str">
        <f t="shared" si="0"/>
        <v>2.a.14</v>
      </c>
    </row>
    <row r="33" spans="1:4" x14ac:dyDescent="0.35">
      <c r="A33" s="1" t="s">
        <v>64</v>
      </c>
      <c r="B33" s="1" t="s">
        <v>79</v>
      </c>
      <c r="C33" s="1" t="s">
        <v>51</v>
      </c>
      <c r="D33" s="1" t="str">
        <f t="shared" si="0"/>
        <v>2.a.15</v>
      </c>
    </row>
    <row r="34" spans="1:4" x14ac:dyDescent="0.35">
      <c r="A34" s="1" t="s">
        <v>65</v>
      </c>
      <c r="B34" s="1" t="s">
        <v>80</v>
      </c>
      <c r="C34" s="1" t="s">
        <v>51</v>
      </c>
      <c r="D34" s="1" t="str">
        <f t="shared" si="0"/>
        <v>2.a.16</v>
      </c>
    </row>
    <row r="35" spans="1:4" x14ac:dyDescent="0.35">
      <c r="A35" s="1" t="s">
        <v>66</v>
      </c>
      <c r="B35" s="1" t="s">
        <v>81</v>
      </c>
      <c r="C35" s="1" t="s">
        <v>51</v>
      </c>
      <c r="D35" s="1" t="str">
        <f t="shared" si="0"/>
        <v>2.a.17</v>
      </c>
    </row>
    <row r="36" spans="1:4" x14ac:dyDescent="0.35">
      <c r="A36" s="1" t="s">
        <v>67</v>
      </c>
      <c r="B36" s="1" t="s">
        <v>82</v>
      </c>
      <c r="C36" s="1" t="s">
        <v>51</v>
      </c>
      <c r="D36" s="1" t="str">
        <f t="shared" si="0"/>
        <v>2.a.18</v>
      </c>
    </row>
    <row r="37" spans="1:4" x14ac:dyDescent="0.35">
      <c r="A37" s="1" t="s">
        <v>68</v>
      </c>
      <c r="B37" s="1" t="s">
        <v>83</v>
      </c>
      <c r="C37" s="1" t="s">
        <v>51</v>
      </c>
      <c r="D37" s="1" t="str">
        <f t="shared" si="0"/>
        <v>3.0</v>
      </c>
    </row>
    <row r="38" spans="1:4" x14ac:dyDescent="0.35">
      <c r="A38" t="s">
        <v>69</v>
      </c>
      <c r="B38" s="1" t="s">
        <v>85</v>
      </c>
      <c r="C38" s="1" t="s">
        <v>51</v>
      </c>
      <c r="D38" s="1" t="str">
        <f t="shared" si="0"/>
        <v>3.a</v>
      </c>
    </row>
    <row r="39" spans="1:4" x14ac:dyDescent="0.35">
      <c r="A39" s="1" t="s">
        <v>86</v>
      </c>
      <c r="B39" s="1" t="s">
        <v>70</v>
      </c>
      <c r="C39" s="1" t="s">
        <v>51</v>
      </c>
      <c r="D39" s="1" t="str">
        <f t="shared" si="0"/>
        <v>3.b</v>
      </c>
    </row>
    <row r="40" spans="1:4" x14ac:dyDescent="0.35">
      <c r="A40" s="1" t="s">
        <v>87</v>
      </c>
      <c r="B40" s="1" t="s">
        <v>71</v>
      </c>
      <c r="C40" s="1" t="s">
        <v>51</v>
      </c>
      <c r="D40" s="1"/>
    </row>
    <row r="41" spans="1:4" x14ac:dyDescent="0.35">
      <c r="A41" s="1" t="s">
        <v>88</v>
      </c>
      <c r="B41" s="1" t="s">
        <v>90</v>
      </c>
      <c r="C41" s="1" t="s">
        <v>51</v>
      </c>
      <c r="D41" s="1" t="str">
        <f>A6</f>
        <v xml:space="preserve">1.c </v>
      </c>
    </row>
    <row r="42" spans="1:4" x14ac:dyDescent="0.35">
      <c r="A42" s="1" t="s">
        <v>88</v>
      </c>
      <c r="B42" s="1" t="s">
        <v>89</v>
      </c>
      <c r="C42" s="1" t="s">
        <v>51</v>
      </c>
      <c r="D42" s="1" t="str">
        <f>A6</f>
        <v xml:space="preserve">1.c </v>
      </c>
    </row>
    <row r="43" spans="1:4" x14ac:dyDescent="0.35">
      <c r="A43" s="1"/>
      <c r="B43" s="1"/>
      <c r="C43" s="1"/>
      <c r="D43" s="1"/>
    </row>
    <row r="47" spans="1:4" x14ac:dyDescent="0.35">
      <c r="B47">
        <f ca="1">+B47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28C2-E9C2-46FB-BA38-260F6CC87C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084C8-A172-48B8-B4EA-23468F2D7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strammer max</dc:creator>
  <cp:lastModifiedBy>strammer max</cp:lastModifiedBy>
  <dcterms:created xsi:type="dcterms:W3CDTF">2026-07-10T17:54:11Z</dcterms:created>
  <dcterms:modified xsi:type="dcterms:W3CDTF">2026-07-10T19:57:59Z</dcterms:modified>
</cp:coreProperties>
</file>